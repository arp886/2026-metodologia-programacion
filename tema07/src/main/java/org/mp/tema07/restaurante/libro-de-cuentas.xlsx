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<sst xmlns="http://schemas.openxmlformats.org/spreadsheetml/2006/main" count="72" uniqueCount="72">
  <si>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>Fecha</t>
  </si>
  <si>
    <t>Concepto</t>
  </si>
  <si>
    <t>Importe</t>
  </si>
  <si>
    <t>Saldo</t>
  </si>
  <si>
    <t xml:space="preserve">Venta menú diario</t>
  </si>
  <si>
    <t xml:space="preserve">Compra de verduras</t>
  </si>
  <si>
    <t xml:space="preserve">Venta cenas</t>
  </si>
  <si>
    <t xml:space="preserve">Compra de carne</t>
  </si>
  <si>
    <t xml:space="preserve">Venta bebidas</t>
  </si>
  <si>
    <t xml:space="preserve">Pago proveedor panadería</t>
  </si>
  <si>
    <t xml:space="preserve">Venta desayunos</t>
  </si>
  <si>
    <t xml:space="preserve">Compra de pescado</t>
  </si>
  <si>
    <t xml:space="preserve">Venta menú degustación</t>
  </si>
  <si>
    <t xml:space="preserve">Servicio de limpieza</t>
  </si>
  <si>
    <t xml:space="preserve">Venta comidas</t>
  </si>
  <si>
    <t xml:space="preserve">Compra de vinos</t>
  </si>
  <si>
    <t xml:space="preserve">Venta eventos privados</t>
  </si>
  <si>
    <t xml:space="preserve">Reparación lavavajillas</t>
  </si>
  <si>
    <t xml:space="preserve">Venta tapas</t>
  </si>
  <si>
    <t xml:space="preserve">Compra de lácteos</t>
  </si>
  <si>
    <t xml:space="preserve">Venta cenas fin de semana</t>
  </si>
  <si>
    <t xml:space="preserve">Nómina personal cocina</t>
  </si>
  <si>
    <t xml:space="preserve">Venta delivery</t>
  </si>
  <si>
    <t xml:space="preserve">Compra de aceite</t>
  </si>
  <si>
    <t xml:space="preserve">Pago electricidad</t>
  </si>
  <si>
    <t xml:space="preserve">Compra de café</t>
  </si>
  <si>
    <t xml:space="preserve">Venta celebraciones</t>
  </si>
  <si>
    <t xml:space="preserve">Pago alquiler local</t>
  </si>
  <si>
    <t xml:space="preserve">Compra de productos limpieza</t>
  </si>
  <si>
    <t xml:space="preserve">Venta comidas empresa</t>
  </si>
  <si>
    <t xml:space="preserve">Pago gestoría</t>
  </si>
  <si>
    <t xml:space="preserve">Compra de marisco</t>
  </si>
  <si>
    <t xml:space="preserve">Compra de frutas</t>
  </si>
  <si>
    <t xml:space="preserve">Pago agua</t>
  </si>
  <si>
    <t xml:space="preserve">Compra de cerveza</t>
  </si>
  <si>
    <t xml:space="preserve">Venta brunch domingo</t>
  </si>
  <si>
    <t xml:space="preserve">Mantenimiento TPV</t>
  </si>
  <si>
    <t xml:space="preserve">Compra de harina y pasta</t>
  </si>
  <si>
    <t xml:space="preserve">Venta vinos</t>
  </si>
  <si>
    <t xml:space="preserve">Pago seguro responsabilidad civil</t>
  </si>
  <si>
    <t xml:space="preserve">Cena San Valentín</t>
  </si>
  <si>
    <t xml:space="preserve">Compra flores decoración</t>
  </si>
  <si>
    <t xml:space="preserve">Compra de pollo</t>
  </si>
  <si>
    <t xml:space="preserve">Pago internet y teléfono</t>
  </si>
  <si>
    <t xml:space="preserve">Compra de quesos</t>
  </si>
  <si>
    <t xml:space="preserve">Venta eventos familiares</t>
  </si>
  <si>
    <t xml:space="preserve">Reparación campana extractora</t>
  </si>
  <si>
    <t xml:space="preserve">Compra de huevos</t>
  </si>
  <si>
    <t xml:space="preserve">Pago uniformes personal</t>
  </si>
  <si>
    <t xml:space="preserve">Venta cenas sábado</t>
  </si>
  <si>
    <t xml:space="preserve">Compra de ternera</t>
  </si>
  <si>
    <t xml:space="preserve">Compra de arroz y legumbres</t>
  </si>
  <si>
    <t xml:space="preserve">Pago publicidad online</t>
  </si>
  <si>
    <t xml:space="preserve">Compra de vinos reserva</t>
  </si>
  <si>
    <t xml:space="preserve">Venta brunch</t>
  </si>
  <si>
    <t xml:space="preserve">Pago mantenimiento maquinaria</t>
  </si>
  <si>
    <t xml:space="preserve">Compra de pan</t>
  </si>
  <si>
    <t xml:space="preserve">Pago gas</t>
  </si>
  <si>
    <t xml:space="preserve">Venta celebración cumpleaños</t>
  </si>
  <si>
    <t xml:space="preserve">Compra de servilletas y manteles</t>
  </si>
  <si>
    <t xml:space="preserve">Compra de pescado fresco</t>
  </si>
  <si>
    <t xml:space="preserve">Menú especial Día del Padre</t>
  </si>
  <si>
    <t xml:space="preserve">Compra de bebidas sin alcohol</t>
  </si>
  <si>
    <t xml:space="preserve">Nómina personal sala</t>
  </si>
  <si>
    <t xml:space="preserve">Compra de verduras ecológicas</t>
  </si>
  <si>
    <t xml:space="preserve">Pago licencia musical</t>
  </si>
  <si>
    <t xml:space="preserve">Venta evento corporativo</t>
  </si>
  <si>
    <t xml:space="preserve">Pago gestoría trimestral</t>
  </si>
  <si>
    <t xml:space="preserve">Compra de carne ibérica</t>
  </si>
  <si>
    <t xml:space="preserve">Compra de postres artesanos</t>
  </si>
  <si>
    <t xml:space="preserve">Compra de café premium</t>
  </si>
  <si>
    <t xml:space="preserve">Pago reparación nevera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</si>
</sst>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_-* #,##0.00\ [$€-C0A]_-;\-* #,##0.00\ [$€-C0A]_-;_-* &quot;-&quot;??\ [$€-C0A]_-;_-@_-"/>
    <numFmt numFmtId="166" formatCode="#,##0.00 \€;[Red]-#,##0.00 \€"/>
    <numFmt numFmtId="167" formatCode="#,##0 \€;[Red]-#,##0 \€"/>
  </numFmts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1" numFmtId="164" xfId="0" applyNumberFormat="1" applyBorder="1"/>
    <xf fontId="0" fillId="0" borderId="1" numFmtId="0" xfId="0" applyBorder="1"/>
    <xf fontId="0" fillId="0" borderId="1" numFmtId="0" xfId="0" applyBorder="1" applyAlignment="1">
      <alignment horizontal="right"/>
    </xf>
    <xf fontId="0" fillId="0" borderId="1" numFmtId="165" xfId="0" applyNumberFormat="1" applyBorder="1"/>
    <xf fontId="0" fillId="2" borderId="1" numFmtId="164" xfId="0" applyNumberFormat="1" applyFill="1" applyBorder="1"/>
    <xf fontId="0" fillId="2" borderId="1" numFmtId="0" xfId="0" applyFill="1" applyBorder="1"/>
    <xf fontId="0" fillId="2" borderId="1" numFmtId="0" xfId="0" applyFill="1" applyBorder="1" applyAlignment="1">
      <alignment horizontal="left"/>
    </xf>
    <xf fontId="0" fillId="2" borderId="1" numFmtId="165" xfId="0" applyNumberFormat="1" applyFill="1" applyBorder="1"/>
    <xf fontId="1" fillId="0" borderId="0" numFmtId="164" xfId="0" applyNumberFormat="1" applyFont="1" applyAlignment="1">
      <alignment horizontal="left" vertical="center" wrapText="1"/>
    </xf>
    <xf fontId="1" fillId="0" borderId="0" numFmtId="0" xfId="0" applyFont="1" applyAlignment="1">
      <alignment horizontal="left" vertical="center" wrapText="1"/>
    </xf>
    <xf fontId="1" fillId="0" borderId="0" numFmtId="166" xfId="0" applyNumberFormat="1" applyFont="1" applyAlignment="1">
      <alignment horizontal="right" vertical="center" wrapText="1"/>
    </xf>
    <xf fontId="1" fillId="0" borderId="0" numFmtId="167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9" zoomScale="100" workbookViewId="0">
      <selection activeCell="A1" activeCellId="0" sqref="A1"/>
    </sheetView>
  </sheetViews>
  <sheetFormatPr defaultRowHeight="14.25"/>
  <cols>
    <col customWidth="1" min="1" max="1" style="1" width="13.7109375"/>
    <col customWidth="1" min="2" max="2" style="2" width="32.421875"/>
    <col customWidth="1" min="3" max="3" style="3" width="15.140625"/>
    <col customWidth="1" min="4" max="4" style="4" width="16.57421875"/>
  </cols>
  <sheetData>
    <row r="1" ht="14.25">
      <c r="A1" s="5" t="s">
        <v>0</v>
      </c>
      <c r="B1" s="6" t="s">
        <v>1</v>
      </c>
      <c r="C1" s="7" t="s">
        <v>2</v>
      </c>
      <c r="D1" s="8" t="s">
        <v>3</v>
      </c>
    </row>
    <row r="2" ht="14.25">
      <c r="A2" s="9">
        <v>46023</v>
      </c>
      <c r="B2" s="10" t="s">
        <v>4</v>
      </c>
      <c r="C2" s="11">
        <v>486.5</v>
      </c>
      <c r="D2" s="4">
        <f>C2</f>
        <v>486.5</v>
      </c>
    </row>
    <row r="3" ht="14.25">
      <c r="A3" s="9">
        <v>46024</v>
      </c>
      <c r="B3" s="10" t="s">
        <v>5</v>
      </c>
      <c r="C3" s="11">
        <v>-124.3</v>
      </c>
      <c r="D3" s="4">
        <f>IF(C3&lt;&gt;"",C3+D2,"")</f>
        <v>362.19999999999999</v>
      </c>
    </row>
    <row r="4" ht="14.25">
      <c r="A4" s="9">
        <v>46025</v>
      </c>
      <c r="B4" s="10" t="s">
        <v>6</v>
      </c>
      <c r="C4" s="11">
        <v>732.79999999999995</v>
      </c>
      <c r="D4" s="4">
        <f>IF(C4&lt;&gt;"",C4+D3,"")</f>
        <v>1095</v>
      </c>
    </row>
    <row r="5" ht="14.25">
      <c r="A5" s="9">
        <v>46026</v>
      </c>
      <c r="B5" s="10" t="s">
        <v>7</v>
      </c>
      <c r="C5" s="11">
        <v>-286.39999999999998</v>
      </c>
      <c r="D5" s="4">
        <f>IF(C5&lt;&gt;"",C5+D4,"")</f>
        <v>808.60000000000002</v>
      </c>
    </row>
    <row r="6" ht="14.25">
      <c r="A6" s="9">
        <v>46027</v>
      </c>
      <c r="B6" s="10" t="s">
        <v>8</v>
      </c>
      <c r="C6" s="11">
        <v>318.19999999999999</v>
      </c>
      <c r="D6" s="4">
        <f>IF(C6&lt;&gt;"",C6+D5,"")</f>
        <v>1126.8</v>
      </c>
    </row>
    <row r="7" ht="14.25">
      <c r="A7" s="9">
        <v>46028</v>
      </c>
      <c r="B7" s="10" t="s">
        <v>9</v>
      </c>
      <c r="C7" s="11">
        <v>-96.75</v>
      </c>
      <c r="D7" s="4">
        <f>IF(C7&lt;&gt;"",C7+D6,"")</f>
        <v>1030.05</v>
      </c>
    </row>
    <row r="8" ht="14.25">
      <c r="A8" s="9">
        <v>46029</v>
      </c>
      <c r="B8" s="10" t="s">
        <v>10</v>
      </c>
      <c r="C8" s="11">
        <v>214.59999999999999</v>
      </c>
      <c r="D8" s="4">
        <f>IF(C8&lt;&gt;"",C8+D7,"")</f>
        <v>1244.6499999999999</v>
      </c>
    </row>
    <row r="9" ht="14.25">
      <c r="A9" s="9">
        <v>46030</v>
      </c>
      <c r="B9" s="10" t="s">
        <v>11</v>
      </c>
      <c r="C9" s="11">
        <v>-354.89999999999998</v>
      </c>
      <c r="D9" s="4">
        <f>IF(C9&lt;&gt;"",C9+D8,"")</f>
        <v>889.74999999999989</v>
      </c>
    </row>
    <row r="10" ht="14.25">
      <c r="A10" s="9">
        <v>46031</v>
      </c>
      <c r="B10" s="10" t="s">
        <v>12</v>
      </c>
      <c r="C10" s="12">
        <v>915</v>
      </c>
      <c r="D10" s="4">
        <f>IF(C10&lt;&gt;"",C10+D9,"")</f>
        <v>1804.75</v>
      </c>
    </row>
    <row r="11" ht="14.25">
      <c r="A11" s="9">
        <v>46032</v>
      </c>
      <c r="B11" s="10" t="s">
        <v>13</v>
      </c>
      <c r="C11" s="12">
        <v>-180</v>
      </c>
      <c r="D11" s="4">
        <f>IF(C11&lt;&gt;"",C11+D10,"")</f>
        <v>1624.75</v>
      </c>
    </row>
    <row r="12" ht="14.25">
      <c r="A12" s="9">
        <v>46033</v>
      </c>
      <c r="B12" s="10" t="s">
        <v>14</v>
      </c>
      <c r="C12" s="11">
        <v>624.70000000000005</v>
      </c>
      <c r="D12" s="4">
        <f>IF(C12&lt;&gt;"",C12+D11,"")</f>
        <v>2249.4499999999998</v>
      </c>
    </row>
    <row r="13" ht="14.25">
      <c r="A13" s="9">
        <v>46034</v>
      </c>
      <c r="B13" s="10" t="s">
        <v>15</v>
      </c>
      <c r="C13" s="11">
        <v>-428.5</v>
      </c>
      <c r="D13" s="4">
        <f>IF(C13&lt;&gt;"",C13+D12,"")</f>
        <v>1820.9499999999998</v>
      </c>
    </row>
    <row r="14" ht="14.25">
      <c r="A14" s="9">
        <v>46035</v>
      </c>
      <c r="B14" s="10" t="s">
        <v>16</v>
      </c>
      <c r="C14" s="12">
        <v>1250</v>
      </c>
      <c r="D14" s="4">
        <f>IF(C14&lt;&gt;"",C14+D13,"")</f>
        <v>3070.9499999999998</v>
      </c>
    </row>
    <row r="15" ht="14.25">
      <c r="A15" s="9">
        <v>46036</v>
      </c>
      <c r="B15" s="10" t="s">
        <v>17</v>
      </c>
      <c r="C15" s="12">
        <v>-210</v>
      </c>
      <c r="D15" s="4">
        <f>IF(C15&lt;&gt;"",C15+D14,"")</f>
        <v>2860.9499999999998</v>
      </c>
    </row>
    <row r="16" ht="14.25">
      <c r="A16" s="9">
        <v>46037</v>
      </c>
      <c r="B16" s="10" t="s">
        <v>18</v>
      </c>
      <c r="C16" s="11">
        <v>376.39999999999998</v>
      </c>
      <c r="D16" s="4">
        <f>IF(C16&lt;&gt;"",C16+D15,"")</f>
        <v>3237.3499999999999</v>
      </c>
    </row>
    <row r="17" ht="14.25">
      <c r="A17" s="9">
        <v>46038</v>
      </c>
      <c r="B17" s="10" t="s">
        <v>19</v>
      </c>
      <c r="C17" s="11">
        <v>-87.599999999999994</v>
      </c>
      <c r="D17" s="4">
        <f>IF(C17&lt;&gt;"",C17+D16,"")</f>
        <v>3149.75</v>
      </c>
    </row>
    <row r="18" ht="14.25">
      <c r="A18" s="9">
        <v>46039</v>
      </c>
      <c r="B18" s="10" t="s">
        <v>20</v>
      </c>
      <c r="C18" s="11">
        <v>1032.9000000000001</v>
      </c>
      <c r="D18" s="4">
        <f>IF(C18&lt;&gt;"",C18+D17,"")</f>
        <v>4182.6499999999996</v>
      </c>
    </row>
    <row r="19" ht="14.25">
      <c r="A19" s="9">
        <v>46040</v>
      </c>
      <c r="B19" s="10" t="s">
        <v>21</v>
      </c>
      <c r="C19" s="12">
        <v>-2450</v>
      </c>
      <c r="D19" s="4">
        <f>IF(C19&lt;&gt;"",C19+D18,"")</f>
        <v>1732.6499999999996</v>
      </c>
    </row>
    <row r="20" ht="14.25">
      <c r="A20" s="9">
        <v>46041</v>
      </c>
      <c r="B20" s="10" t="s">
        <v>22</v>
      </c>
      <c r="C20" s="11">
        <v>268.35000000000002</v>
      </c>
      <c r="D20" s="4">
        <f>IF(C20&lt;&gt;"",C20+D19,"")</f>
        <v>2000.9999999999995</v>
      </c>
    </row>
    <row r="21" ht="14.25">
      <c r="A21" s="9">
        <v>46042</v>
      </c>
      <c r="B21" s="10" t="s">
        <v>23</v>
      </c>
      <c r="C21" s="11">
        <v>-143.19999999999999</v>
      </c>
      <c r="D21" s="4">
        <f>IF(C21&lt;&gt;"",C21+D20,"")</f>
        <v>1857.7999999999995</v>
      </c>
    </row>
    <row r="22" ht="14.25">
      <c r="A22" s="9">
        <v>46043</v>
      </c>
      <c r="B22" s="10" t="s">
        <v>4</v>
      </c>
      <c r="C22" s="11">
        <v>512.10000000000002</v>
      </c>
      <c r="D22" s="4">
        <f>IF(C22&lt;&gt;"",C22+D21,"")</f>
        <v>2369.8999999999996</v>
      </c>
    </row>
    <row r="23" ht="14.25">
      <c r="A23" s="9">
        <v>46044</v>
      </c>
      <c r="B23" s="10" t="s">
        <v>24</v>
      </c>
      <c r="C23" s="11">
        <v>-390.64999999999998</v>
      </c>
      <c r="D23" s="4">
        <f>IF(C23&lt;&gt;"",C23+D22,"")</f>
        <v>1979.2499999999995</v>
      </c>
    </row>
    <row r="24" ht="14.25">
      <c r="A24" s="9">
        <v>46045</v>
      </c>
      <c r="B24" s="10" t="s">
        <v>8</v>
      </c>
      <c r="C24" s="11">
        <v>295.80000000000001</v>
      </c>
      <c r="D24" s="4">
        <f>IF(C24&lt;&gt;"",C24+D23,"")</f>
        <v>2275.0499999999997</v>
      </c>
    </row>
    <row r="25" ht="14.25">
      <c r="A25" s="9">
        <v>46046</v>
      </c>
      <c r="B25" s="10" t="s">
        <v>25</v>
      </c>
      <c r="C25" s="11">
        <v>-76.400000000000006</v>
      </c>
      <c r="D25" s="4">
        <f>IF(C25&lt;&gt;"",C25+D24,"")</f>
        <v>2198.6499999999996</v>
      </c>
    </row>
    <row r="26" ht="14.25">
      <c r="A26" s="9">
        <v>46047</v>
      </c>
      <c r="B26" s="10" t="s">
        <v>26</v>
      </c>
      <c r="C26" s="12">
        <v>1480</v>
      </c>
      <c r="D26" s="4">
        <f>IF(C26&lt;&gt;"",C26+D25,"")</f>
        <v>3678.6499999999996</v>
      </c>
    </row>
    <row r="27" ht="14.25">
      <c r="A27" s="9">
        <v>46048</v>
      </c>
      <c r="B27" s="10" t="s">
        <v>27</v>
      </c>
      <c r="C27" s="12">
        <v>-2100</v>
      </c>
      <c r="D27" s="4">
        <f>IF(C27&lt;&gt;"",C27+D26,"")</f>
        <v>1578.6499999999996</v>
      </c>
    </row>
    <row r="28" ht="14.25">
      <c r="A28" s="9">
        <v>46049</v>
      </c>
      <c r="B28" s="10" t="s">
        <v>10</v>
      </c>
      <c r="C28" s="11">
        <v>198.90000000000001</v>
      </c>
      <c r="D28" s="4">
        <f>IF(C28&lt;&gt;"",C28+D27,"")</f>
        <v>1777.5499999999997</v>
      </c>
    </row>
    <row r="29" ht="14.25">
      <c r="A29" s="9">
        <v>46050</v>
      </c>
      <c r="B29" s="10" t="s">
        <v>28</v>
      </c>
      <c r="C29" s="11">
        <v>-112.5</v>
      </c>
      <c r="D29" s="4">
        <f>IF(C29&lt;&gt;"",C29+D28,"")</f>
        <v>1665.0499999999997</v>
      </c>
    </row>
    <row r="30" ht="14.25">
      <c r="A30" s="9">
        <v>46051</v>
      </c>
      <c r="B30" s="10" t="s">
        <v>29</v>
      </c>
      <c r="C30" s="12">
        <v>875</v>
      </c>
      <c r="D30" s="4">
        <f>IF(C30&lt;&gt;"",C30+D29,"")</f>
        <v>2540.0499999999997</v>
      </c>
    </row>
    <row r="31" ht="14.25">
      <c r="A31" s="9">
        <v>46052</v>
      </c>
      <c r="B31" s="10" t="s">
        <v>30</v>
      </c>
      <c r="C31" s="12">
        <v>-165</v>
      </c>
      <c r="D31" s="4">
        <f>IF(C31&lt;&gt;"",C31+D30,"")</f>
        <v>2375.0499999999997</v>
      </c>
    </row>
    <row r="32" ht="14.25">
      <c r="A32" s="9">
        <v>46053</v>
      </c>
      <c r="B32" s="10" t="s">
        <v>6</v>
      </c>
      <c r="C32" s="11">
        <v>948.60000000000002</v>
      </c>
      <c r="D32" s="4">
        <f>IF(C32&lt;&gt;"",C32+D31,"")</f>
        <v>3323.6499999999996</v>
      </c>
    </row>
    <row r="33" ht="14.25">
      <c r="A33" s="9">
        <v>46054</v>
      </c>
      <c r="B33" s="10" t="s">
        <v>31</v>
      </c>
      <c r="C33" s="11">
        <v>-512.75</v>
      </c>
      <c r="D33" s="4">
        <f>IF(C33&lt;&gt;"",C33+D32,"")</f>
        <v>2810.8999999999996</v>
      </c>
    </row>
    <row r="34" ht="14.25">
      <c r="A34" s="9">
        <v>46055</v>
      </c>
      <c r="B34" s="10" t="s">
        <v>4</v>
      </c>
      <c r="C34" s="11">
        <v>467.19999999999999</v>
      </c>
      <c r="D34" s="4">
        <f>IF(C34&lt;&gt;"",C34+D33,"")</f>
        <v>3278.0999999999995</v>
      </c>
    </row>
    <row r="35" ht="14.25">
      <c r="A35" s="9">
        <v>46056</v>
      </c>
      <c r="B35" s="10" t="s">
        <v>32</v>
      </c>
      <c r="C35" s="11">
        <v>-94.849999999999994</v>
      </c>
      <c r="D35" s="4">
        <f>IF(C35&lt;&gt;"",C35+D34,"")</f>
        <v>3183.2499999999995</v>
      </c>
    </row>
    <row r="36" ht="14.25">
      <c r="A36" s="9">
        <v>46057</v>
      </c>
      <c r="B36" s="10" t="s">
        <v>18</v>
      </c>
      <c r="C36" s="11">
        <v>342.10000000000002</v>
      </c>
      <c r="D36" s="4">
        <f>IF(C36&lt;&gt;"",C36+D35,"")</f>
        <v>3525.3499999999995</v>
      </c>
    </row>
    <row r="37" ht="14.25">
      <c r="A37" s="9">
        <v>46058</v>
      </c>
      <c r="B37" s="10" t="s">
        <v>33</v>
      </c>
      <c r="C37" s="11">
        <v>-128.40000000000001</v>
      </c>
      <c r="D37" s="4">
        <f>IF(C37&lt;&gt;"",C37+D36,"")</f>
        <v>3396.9499999999994</v>
      </c>
    </row>
    <row r="38" ht="14.25">
      <c r="A38" s="9">
        <v>46059</v>
      </c>
      <c r="B38" s="10" t="s">
        <v>22</v>
      </c>
      <c r="C38" s="11">
        <v>301.69999999999999</v>
      </c>
      <c r="D38" s="4">
        <f>IF(C38&lt;&gt;"",C38+D37,"")</f>
        <v>3698.6499999999992</v>
      </c>
    </row>
    <row r="39" ht="14.25">
      <c r="A39" s="9">
        <v>46060</v>
      </c>
      <c r="B39" s="10" t="s">
        <v>34</v>
      </c>
      <c r="C39" s="11">
        <v>-238.90000000000001</v>
      </c>
      <c r="D39" s="4">
        <f>IF(C39&lt;&gt;"",C39+D38,"")</f>
        <v>3459.7499999999991</v>
      </c>
    </row>
    <row r="40" ht="14.25">
      <c r="A40" s="9">
        <v>46061</v>
      </c>
      <c r="B40" s="10" t="s">
        <v>35</v>
      </c>
      <c r="C40" s="11">
        <v>694.5</v>
      </c>
      <c r="D40" s="4">
        <f>IF(C40&lt;&gt;"",C40+D39,"")</f>
        <v>4154.2499999999991</v>
      </c>
    </row>
    <row r="41" ht="14.25">
      <c r="A41" s="9">
        <v>46062</v>
      </c>
      <c r="B41" s="10" t="s">
        <v>36</v>
      </c>
      <c r="C41" s="11">
        <v>-79.900000000000006</v>
      </c>
      <c r="D41" s="4">
        <f>IF(C41&lt;&gt;"",C41+D40,"")</f>
        <v>4074.349999999999</v>
      </c>
    </row>
    <row r="42" ht="14.25">
      <c r="A42" s="9">
        <v>46063</v>
      </c>
      <c r="B42" s="10" t="s">
        <v>4</v>
      </c>
      <c r="C42" s="11">
        <v>523.79999999999995</v>
      </c>
      <c r="D42" s="4">
        <f>IF(C42&lt;&gt;"",C42+D41,"")</f>
        <v>4598.1499999999987</v>
      </c>
    </row>
    <row r="43" ht="14.25">
      <c r="A43" s="9">
        <v>46064</v>
      </c>
      <c r="B43" s="10" t="s">
        <v>37</v>
      </c>
      <c r="C43" s="11">
        <v>-118.59999999999999</v>
      </c>
      <c r="D43" s="4">
        <f>IF(C43&lt;&gt;"",C43+D42,"")</f>
        <v>4479.5499999999984</v>
      </c>
    </row>
    <row r="44" ht="14.25">
      <c r="A44" s="9">
        <v>46065</v>
      </c>
      <c r="B44" s="10" t="s">
        <v>38</v>
      </c>
      <c r="C44" s="11">
        <v>412.30000000000001</v>
      </c>
      <c r="D44" s="4">
        <f>IF(C44&lt;&gt;"",C44+D43,"")</f>
        <v>4891.8499999999985</v>
      </c>
    </row>
    <row r="45" ht="14.25">
      <c r="A45" s="9">
        <v>46066</v>
      </c>
      <c r="B45" s="10" t="s">
        <v>39</v>
      </c>
      <c r="C45" s="12">
        <v>-320</v>
      </c>
      <c r="D45" s="4">
        <f>IF(C45&lt;&gt;"",C45+D44,"")</f>
        <v>4571.8499999999985</v>
      </c>
    </row>
    <row r="46" ht="14.25">
      <c r="A46" s="9">
        <v>46067</v>
      </c>
      <c r="B46" s="10" t="s">
        <v>40</v>
      </c>
      <c r="C46" s="12">
        <v>1865</v>
      </c>
      <c r="D46" s="4">
        <f>IF(C46&lt;&gt;"",C46+D45,"")</f>
        <v>6436.8499999999985</v>
      </c>
    </row>
    <row r="47" ht="14.25">
      <c r="A47" s="9">
        <v>46068</v>
      </c>
      <c r="B47" s="10" t="s">
        <v>41</v>
      </c>
      <c r="C47" s="11">
        <v>-68.200000000000003</v>
      </c>
      <c r="D47" s="4">
        <f>IF(C47&lt;&gt;"",C47+D46,"")</f>
        <v>6368.6499999999987</v>
      </c>
    </row>
    <row r="48" ht="14.25">
      <c r="A48" s="9">
        <v>46069</v>
      </c>
      <c r="B48" s="10" t="s">
        <v>14</v>
      </c>
      <c r="C48" s="11">
        <v>589.75</v>
      </c>
      <c r="D48" s="4">
        <f>IF(C48&lt;&gt;"",C48+D47,"")</f>
        <v>6958.3999999999987</v>
      </c>
    </row>
    <row r="49" ht="14.25">
      <c r="A49" s="9">
        <v>46070</v>
      </c>
      <c r="B49" s="10" t="s">
        <v>42</v>
      </c>
      <c r="C49" s="11">
        <v>-204.15000000000001</v>
      </c>
      <c r="D49" s="4">
        <f>IF(C49&lt;&gt;"",C49+D48,"")</f>
        <v>6754.2499999999991</v>
      </c>
    </row>
    <row r="50" ht="14.25">
      <c r="A50" s="9">
        <v>46071</v>
      </c>
      <c r="B50" s="10" t="s">
        <v>10</v>
      </c>
      <c r="C50" s="11">
        <v>221.40000000000001</v>
      </c>
      <c r="D50" s="4">
        <f>IF(C50&lt;&gt;"",C50+D49,"")</f>
        <v>6975.6499999999987</v>
      </c>
    </row>
    <row r="51" ht="14.25">
      <c r="A51" s="9">
        <v>46072</v>
      </c>
      <c r="B51" s="10" t="s">
        <v>43</v>
      </c>
      <c r="C51" s="11">
        <v>-84.989999999999995</v>
      </c>
      <c r="D51" s="4">
        <f>IF(C51&lt;&gt;"",C51+D50,"")</f>
        <v>6890.6599999999989</v>
      </c>
    </row>
    <row r="52" ht="14.25">
      <c r="A52" s="9">
        <v>46073</v>
      </c>
      <c r="B52" s="10" t="s">
        <v>6</v>
      </c>
      <c r="C52" s="11">
        <v>876.20000000000005</v>
      </c>
      <c r="D52" s="4">
        <f>IF(C52&lt;&gt;"",C52+D51,"")</f>
        <v>7766.8599999999988</v>
      </c>
    </row>
    <row r="53" ht="14.25">
      <c r="A53" s="9">
        <v>46074</v>
      </c>
      <c r="B53" s="10" t="s">
        <v>44</v>
      </c>
      <c r="C53" s="11">
        <v>-156.69999999999999</v>
      </c>
      <c r="D53" s="4">
        <f>IF(C53&lt;&gt;"",C53+D52,"")</f>
        <v>7610.1599999999989</v>
      </c>
    </row>
    <row r="54" ht="14.25">
      <c r="A54" s="9">
        <v>46075</v>
      </c>
      <c r="B54" s="10" t="s">
        <v>45</v>
      </c>
      <c r="C54" s="12">
        <v>1120</v>
      </c>
      <c r="D54" s="4">
        <f>IF(C54&lt;&gt;"",C54+D53,"")</f>
        <v>8730.1599999999999</v>
      </c>
    </row>
    <row r="55" ht="14.25">
      <c r="A55" s="9">
        <v>46076</v>
      </c>
      <c r="B55" s="10" t="s">
        <v>46</v>
      </c>
      <c r="C55" s="12">
        <v>-275</v>
      </c>
      <c r="D55" s="4">
        <f>IF(C55&lt;&gt;"",C55+D54,"")</f>
        <v>8455.1599999999999</v>
      </c>
    </row>
    <row r="56" ht="14.25">
      <c r="A56" s="9">
        <v>46077</v>
      </c>
      <c r="B56" s="10" t="s">
        <v>4</v>
      </c>
      <c r="C56" s="11">
        <v>498.89999999999998</v>
      </c>
      <c r="D56" s="4">
        <f>IF(C56&lt;&gt;"",C56+D55,"")</f>
        <v>8954.0599999999995</v>
      </c>
    </row>
    <row r="57" ht="14.25">
      <c r="A57" s="9">
        <v>46078</v>
      </c>
      <c r="B57" s="10" t="s">
        <v>47</v>
      </c>
      <c r="C57" s="11">
        <v>-73.450000000000003</v>
      </c>
      <c r="D57" s="4">
        <f>IF(C57&lt;&gt;"",C57+D56,"")</f>
        <v>8880.6099999999988</v>
      </c>
    </row>
    <row r="58" ht="14.25">
      <c r="A58" s="9">
        <v>46079</v>
      </c>
      <c r="B58" s="10" t="s">
        <v>8</v>
      </c>
      <c r="C58" s="11">
        <v>336.60000000000002</v>
      </c>
      <c r="D58" s="4">
        <f>IF(C58&lt;&gt;"",C58+D57,"")</f>
        <v>9217.2099999999991</v>
      </c>
    </row>
    <row r="59" ht="14.25">
      <c r="A59" s="9">
        <v>46080</v>
      </c>
      <c r="B59" s="10" t="s">
        <v>48</v>
      </c>
      <c r="C59" s="12">
        <v>-245</v>
      </c>
      <c r="D59" s="4">
        <f>IF(C59&lt;&gt;"",C59+D58,"")</f>
        <v>8972.2099999999991</v>
      </c>
    </row>
    <row r="60" ht="14.25">
      <c r="A60" s="9">
        <v>46081</v>
      </c>
      <c r="B60" s="10" t="s">
        <v>49</v>
      </c>
      <c r="C60" s="11">
        <v>1086.4000000000001</v>
      </c>
      <c r="D60" s="4">
        <f>IF(C60&lt;&gt;"",C60+D59,"")</f>
        <v>10058.609999999999</v>
      </c>
    </row>
    <row r="61" ht="14.25">
      <c r="A61" s="9">
        <v>46082</v>
      </c>
      <c r="B61" s="10" t="s">
        <v>50</v>
      </c>
      <c r="C61" s="11">
        <v>-398.30000000000001</v>
      </c>
      <c r="D61" s="4">
        <f>IF(C61&lt;&gt;"",C61+D60,"")</f>
        <v>9660.3099999999995</v>
      </c>
    </row>
    <row r="62" ht="14.25">
      <c r="A62" s="9">
        <v>46083</v>
      </c>
      <c r="B62" s="10" t="s">
        <v>4</v>
      </c>
      <c r="C62" s="11">
        <v>541.25</v>
      </c>
      <c r="D62" s="4">
        <f>IF(C62&lt;&gt;"",C62+D61,"")</f>
        <v>10201.559999999999</v>
      </c>
    </row>
    <row r="63" ht="14.25">
      <c r="A63" s="9">
        <v>46084</v>
      </c>
      <c r="B63" s="10" t="s">
        <v>51</v>
      </c>
      <c r="C63" s="11">
        <v>-132.80000000000001</v>
      </c>
      <c r="D63" s="4">
        <f>IF(C63&lt;&gt;"",C63+D62,"")</f>
        <v>10068.76</v>
      </c>
    </row>
    <row r="64" ht="14.25">
      <c r="A64" s="9">
        <v>46085</v>
      </c>
      <c r="B64" s="10" t="s">
        <v>22</v>
      </c>
      <c r="C64" s="11">
        <v>284.89999999999998</v>
      </c>
      <c r="D64" s="4">
        <f>IF(C64&lt;&gt;"",C64+D63,"")</f>
        <v>10353.66</v>
      </c>
    </row>
    <row r="65" ht="15">
      <c r="A65" s="9">
        <v>46086</v>
      </c>
      <c r="B65" s="10" t="s">
        <v>52</v>
      </c>
      <c r="C65" s="12">
        <v>-150</v>
      </c>
      <c r="D65" s="4">
        <f>IF(C65&lt;&gt;"",C65+D64,"")</f>
        <v>10203.66</v>
      </c>
    </row>
    <row r="66" ht="15">
      <c r="A66" s="9">
        <v>46087</v>
      </c>
      <c r="B66" s="10" t="s">
        <v>6</v>
      </c>
      <c r="C66" s="11">
        <v>902.10000000000002</v>
      </c>
      <c r="D66" s="4">
        <f>IF(C66&lt;&gt;"",C66+D65,"")</f>
        <v>11105.76</v>
      </c>
    </row>
    <row r="67" ht="15">
      <c r="A67" s="9">
        <v>46088</v>
      </c>
      <c r="B67" s="10" t="s">
        <v>53</v>
      </c>
      <c r="C67" s="12">
        <v>-620</v>
      </c>
      <c r="D67" s="4">
        <f>IF(C67&lt;&gt;"",C67+D66,"")</f>
        <v>10485.76</v>
      </c>
    </row>
    <row r="68" ht="15">
      <c r="A68" s="9">
        <v>46089</v>
      </c>
      <c r="B68" s="10" t="s">
        <v>54</v>
      </c>
      <c r="C68" s="11">
        <v>712.35000000000002</v>
      </c>
      <c r="D68" s="4">
        <f>IF(C68&lt;&gt;"",C68+D67,"")</f>
        <v>11198.110000000001</v>
      </c>
    </row>
    <row r="69" ht="15">
      <c r="A69" s="9">
        <v>46090</v>
      </c>
      <c r="B69" s="10" t="s">
        <v>55</v>
      </c>
      <c r="C69" s="12">
        <v>-190</v>
      </c>
      <c r="D69" s="4">
        <f>IF(C69&lt;&gt;"",C69+D68,"")</f>
        <v>11008.110000000001</v>
      </c>
    </row>
    <row r="70" ht="15">
      <c r="A70" s="9">
        <v>46091</v>
      </c>
      <c r="B70" s="10" t="s">
        <v>4</v>
      </c>
      <c r="C70" s="11">
        <v>506.69999999999999</v>
      </c>
      <c r="D70" s="4">
        <f>IF(C70&lt;&gt;"",C70+D69,"")</f>
        <v>11514.810000000001</v>
      </c>
    </row>
    <row r="71" ht="15">
      <c r="A71" s="9">
        <v>46092</v>
      </c>
      <c r="B71" s="10" t="s">
        <v>56</v>
      </c>
      <c r="C71" s="11">
        <v>-82.299999999999997</v>
      </c>
      <c r="D71" s="4">
        <f>IF(C71&lt;&gt;"",C71+D70,"")</f>
        <v>11432.510000000002</v>
      </c>
    </row>
    <row r="72" ht="15">
      <c r="A72" s="9">
        <v>46093</v>
      </c>
      <c r="B72" s="10" t="s">
        <v>18</v>
      </c>
      <c r="C72" s="11">
        <v>361.80000000000001</v>
      </c>
      <c r="D72" s="4">
        <f>IF(C72&lt;&gt;"",C72+D71,"")</f>
        <v>11794.310000000001</v>
      </c>
    </row>
    <row r="73" ht="15">
      <c r="A73" s="9">
        <v>46094</v>
      </c>
      <c r="B73" s="10" t="s">
        <v>57</v>
      </c>
      <c r="C73" s="11">
        <v>-410.25</v>
      </c>
      <c r="D73" s="4">
        <f>IF(C73&lt;&gt;"",C73+D72,"")</f>
        <v>11384.060000000001</v>
      </c>
    </row>
    <row r="74" ht="15">
      <c r="A74" s="9">
        <v>46095</v>
      </c>
      <c r="B74" s="10" t="s">
        <v>58</v>
      </c>
      <c r="C74" s="12">
        <v>1340</v>
      </c>
      <c r="D74" s="4">
        <f>IF(C74&lt;&gt;"",C74+D73,"")</f>
        <v>12724.060000000001</v>
      </c>
    </row>
    <row r="75" ht="15">
      <c r="A75" s="9">
        <v>46096</v>
      </c>
      <c r="B75" s="10" t="s">
        <v>59</v>
      </c>
      <c r="C75" s="11">
        <v>-139.59999999999999</v>
      </c>
      <c r="D75" s="4">
        <f>IF(C75&lt;&gt;"",C75+D74,"")</f>
        <v>12584.460000000001</v>
      </c>
    </row>
    <row r="76" ht="15">
      <c r="A76" s="9">
        <v>46097</v>
      </c>
      <c r="B76" s="10" t="s">
        <v>14</v>
      </c>
      <c r="C76" s="11">
        <v>618.45000000000005</v>
      </c>
      <c r="D76" s="4">
        <f>IF(C76&lt;&gt;"",C76+D75,"")</f>
        <v>13202.910000000002</v>
      </c>
    </row>
    <row r="77" ht="15">
      <c r="A77" s="9">
        <v>46098</v>
      </c>
      <c r="B77" s="10" t="s">
        <v>60</v>
      </c>
      <c r="C77" s="11">
        <v>-376.19999999999999</v>
      </c>
      <c r="D77" s="4">
        <f>IF(C77&lt;&gt;"",C77+D76,"")</f>
        <v>12826.710000000001</v>
      </c>
    </row>
    <row r="78" ht="15">
      <c r="A78" s="9">
        <v>46099</v>
      </c>
      <c r="B78" s="10" t="s">
        <v>10</v>
      </c>
      <c r="C78" s="11">
        <v>236.94999999999999</v>
      </c>
      <c r="D78" s="4">
        <f>IF(C78&lt;&gt;"",C78+D77,"")</f>
        <v>13063.660000000002</v>
      </c>
    </row>
    <row r="79" ht="15">
      <c r="A79" s="9">
        <v>46100</v>
      </c>
      <c r="B79" s="10" t="s">
        <v>61</v>
      </c>
      <c r="C79" s="12">
        <v>1095</v>
      </c>
      <c r="D79" s="4">
        <f>IF(C79&lt;&gt;"",C79+D78,"")</f>
        <v>14158.660000000002</v>
      </c>
    </row>
    <row r="80" ht="15">
      <c r="A80" s="9">
        <v>46101</v>
      </c>
      <c r="B80" s="10" t="s">
        <v>62</v>
      </c>
      <c r="C80" s="11">
        <v>-174.34999999999999</v>
      </c>
      <c r="D80" s="4">
        <f>IF(C80&lt;&gt;"",C80+D79,"")</f>
        <v>13984.310000000001</v>
      </c>
    </row>
    <row r="81" ht="15">
      <c r="A81" s="9">
        <v>46102</v>
      </c>
      <c r="B81" s="10" t="s">
        <v>20</v>
      </c>
      <c r="C81" s="11">
        <v>1118.7</v>
      </c>
      <c r="D81" s="4">
        <f>IF(C81&lt;&gt;"",C81+D80,"")</f>
        <v>15103.010000000002</v>
      </c>
    </row>
    <row r="82" ht="15">
      <c r="A82" s="9">
        <v>46103</v>
      </c>
      <c r="B82" s="10" t="s">
        <v>63</v>
      </c>
      <c r="C82" s="12">
        <v>-2180</v>
      </c>
      <c r="D82" s="4">
        <f>IF(C82&lt;&gt;"",C82+D81,"")</f>
        <v>12923.010000000002</v>
      </c>
    </row>
    <row r="83" ht="15">
      <c r="A83" s="9">
        <v>46104</v>
      </c>
      <c r="B83" s="10" t="s">
        <v>22</v>
      </c>
      <c r="C83" s="11">
        <v>315.25</v>
      </c>
      <c r="D83" s="4">
        <f>IF(C83&lt;&gt;"",C83+D82,"")</f>
        <v>13238.260000000002</v>
      </c>
    </row>
    <row r="84" ht="15">
      <c r="A84" s="9">
        <v>46105</v>
      </c>
      <c r="B84" s="10" t="s">
        <v>64</v>
      </c>
      <c r="C84" s="11">
        <v>-148.90000000000001</v>
      </c>
      <c r="D84" s="4">
        <f>IF(C84&lt;&gt;"",C84+D83,"")</f>
        <v>13089.360000000002</v>
      </c>
    </row>
    <row r="85" ht="15">
      <c r="A85" s="9">
        <v>46106</v>
      </c>
      <c r="B85" s="10" t="s">
        <v>4</v>
      </c>
      <c r="C85" s="11">
        <v>529.39999999999998</v>
      </c>
      <c r="D85" s="4">
        <f>IF(C85&lt;&gt;"",C85+D84,"")</f>
        <v>13618.760000000002</v>
      </c>
    </row>
    <row r="86" ht="15">
      <c r="A86" s="9">
        <v>46107</v>
      </c>
      <c r="B86" s="10" t="s">
        <v>65</v>
      </c>
      <c r="C86" s="12">
        <v>-95</v>
      </c>
      <c r="D86" s="4">
        <f>IF(C86&lt;&gt;"",C86+D85,"")</f>
        <v>13523.760000000002</v>
      </c>
    </row>
    <row r="87" ht="15">
      <c r="A87" s="9">
        <v>46108</v>
      </c>
      <c r="B87" s="10" t="s">
        <v>8</v>
      </c>
      <c r="C87" s="11">
        <v>389.19999999999999</v>
      </c>
      <c r="D87" s="4">
        <f>IF(C87&lt;&gt;"",C87+D86,"")</f>
        <v>13912.960000000003</v>
      </c>
    </row>
    <row r="88" ht="15">
      <c r="A88" s="9">
        <v>46109</v>
      </c>
      <c r="B88" s="10" t="s">
        <v>31</v>
      </c>
      <c r="C88" s="11">
        <v>-548.60000000000002</v>
      </c>
      <c r="D88" s="4">
        <f>IF(C88&lt;&gt;"",C88+D87,"")</f>
        <v>13364.360000000002</v>
      </c>
    </row>
    <row r="89" ht="15">
      <c r="A89" s="9">
        <v>46110</v>
      </c>
      <c r="B89" s="10" t="s">
        <v>66</v>
      </c>
      <c r="C89" s="12">
        <v>1780</v>
      </c>
      <c r="D89" s="4">
        <f>IF(C89&lt;&gt;"",C89+D88,"")</f>
        <v>15144.360000000002</v>
      </c>
    </row>
    <row r="90" ht="15">
      <c r="A90" s="9">
        <v>46111</v>
      </c>
      <c r="B90" s="10" t="s">
        <v>67</v>
      </c>
      <c r="C90" s="12">
        <v>-240</v>
      </c>
      <c r="D90" s="4">
        <f>IF(C90&lt;&gt;"",C90+D89,"")</f>
        <v>14904.360000000002</v>
      </c>
    </row>
    <row r="91" ht="15">
      <c r="A91" s="9">
        <v>46112</v>
      </c>
      <c r="B91" s="10" t="s">
        <v>6</v>
      </c>
      <c r="C91" s="11">
        <v>967.85000000000002</v>
      </c>
      <c r="D91" s="4">
        <f>IF(C91&lt;&gt;"",C91+D90,"")</f>
        <v>15872.210000000003</v>
      </c>
    </row>
    <row r="92" ht="15">
      <c r="A92" s="9">
        <v>46113</v>
      </c>
      <c r="B92" s="10" t="s">
        <v>68</v>
      </c>
      <c r="C92" s="11">
        <v>-456.75</v>
      </c>
      <c r="D92" s="4">
        <f>IF(C92&lt;&gt;"",C92+D91,"")</f>
        <v>15415.460000000003</v>
      </c>
    </row>
    <row r="93" ht="15">
      <c r="A93" s="9">
        <v>46114</v>
      </c>
      <c r="B93" s="10" t="s">
        <v>4</v>
      </c>
      <c r="C93" s="11">
        <v>552.60000000000002</v>
      </c>
      <c r="D93" s="4">
        <f>IF(C93&lt;&gt;"",C93+D92,"")</f>
        <v>15968.060000000003</v>
      </c>
    </row>
    <row r="94" ht="15">
      <c r="A94" s="9">
        <v>46115</v>
      </c>
      <c r="B94" s="10" t="s">
        <v>69</v>
      </c>
      <c r="C94" s="11">
        <v>-188.40000000000001</v>
      </c>
      <c r="D94" s="4">
        <f>IF(C94&lt;&gt;"",C94+D93,"")</f>
        <v>15779.660000000003</v>
      </c>
    </row>
    <row r="95" ht="15">
      <c r="A95" s="9">
        <v>46116</v>
      </c>
      <c r="B95" s="10" t="s">
        <v>49</v>
      </c>
      <c r="C95" s="11">
        <v>1205.3</v>
      </c>
      <c r="D95" s="4">
        <f>IF(C95&lt;&gt;"",C95+D94,"")</f>
        <v>16984.960000000003</v>
      </c>
    </row>
    <row r="96" ht="15">
      <c r="A96" s="9">
        <v>46117</v>
      </c>
      <c r="B96" s="10" t="s">
        <v>24</v>
      </c>
      <c r="C96" s="11">
        <v>-402.10000000000002</v>
      </c>
      <c r="D96" s="4">
        <f>IF(C96&lt;&gt;"",C96+D95,"")</f>
        <v>16582.860000000004</v>
      </c>
    </row>
    <row r="97" ht="15">
      <c r="A97" s="9">
        <v>46118</v>
      </c>
      <c r="B97" s="10" t="s">
        <v>14</v>
      </c>
      <c r="C97" s="11">
        <v>644.89999999999998</v>
      </c>
      <c r="D97" s="4">
        <f>IF(C97&lt;&gt;"",C97+D96,"")</f>
        <v>17227.760000000006</v>
      </c>
    </row>
    <row r="98" ht="15">
      <c r="A98" s="9">
        <v>46119</v>
      </c>
      <c r="B98" s="10" t="s">
        <v>70</v>
      </c>
      <c r="C98" s="11">
        <v>-98.75</v>
      </c>
      <c r="D98" s="4">
        <f>IF(C98&lt;&gt;"",C98+D97,"")</f>
        <v>17129.010000000006</v>
      </c>
    </row>
    <row r="99" ht="15">
      <c r="A99" s="9">
        <v>46120</v>
      </c>
      <c r="B99" s="10" t="s">
        <v>10</v>
      </c>
      <c r="C99" s="11">
        <v>247.5</v>
      </c>
      <c r="D99" s="4">
        <f>IF(C99&lt;&gt;"",C99+D98,"")</f>
        <v>17376.510000000006</v>
      </c>
    </row>
    <row r="100" ht="15">
      <c r="A100" s="9">
        <v>46121</v>
      </c>
      <c r="B100" s="10" t="s">
        <v>71</v>
      </c>
      <c r="C100" s="12">
        <v>-315</v>
      </c>
      <c r="D100" s="4">
        <f>IF(C100&lt;&gt;"",C100+D99,"")</f>
        <v>17061.510000000006</v>
      </c>
    </row>
    <row r="101" ht="15">
      <c r="A101" s="9">
        <v>46122</v>
      </c>
      <c r="B101" s="10" t="s">
        <v>12</v>
      </c>
      <c r="C101" s="12">
        <v>1425</v>
      </c>
      <c r="D101" s="4">
        <f>IF(C101&lt;&gt;"",C101+D100,"")</f>
        <v>18486.510000000006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2026-05-06T20:18:43Z</dcterms:modified>
</cp:coreProperties>
</file>